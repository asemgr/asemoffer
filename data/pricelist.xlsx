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offerium1\data\"/>
    </mc:Choice>
  </mc:AlternateContent>
  <xr:revisionPtr revIDLastSave="0" documentId="13_ncr:1_{A67A4CF3-1573-4B2C-8D41-DFA8F4CA9B5C}" xr6:coauthVersionLast="47" xr6:coauthVersionMax="47" xr10:uidLastSave="{00000000-0000-0000-0000-000000000000}"/>
  <bookViews>
    <workbookView xWindow="-120" yWindow="-120" windowWidth="29040" windowHeight="15720" xr2:uid="{2AD7CE82-B04F-4547-A425-CB702CC74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0" i="1" l="1"/>
  <c r="F105" i="1"/>
  <c r="F104" i="1"/>
  <c r="D110" i="1"/>
  <c r="D71" i="1"/>
  <c r="F71" i="1"/>
  <c r="F102" i="1"/>
  <c r="F101" i="1"/>
  <c r="F100" i="1"/>
  <c r="F99" i="1"/>
  <c r="F97" i="1"/>
  <c r="F95" i="1"/>
  <c r="F94" i="1"/>
  <c r="F93" i="1"/>
  <c r="F92" i="1"/>
  <c r="F85" i="1"/>
  <c r="F78" i="1"/>
  <c r="F76" i="1"/>
  <c r="F73" i="1"/>
  <c r="F72" i="1"/>
  <c r="F70" i="1"/>
  <c r="F67" i="1"/>
  <c r="F65" i="1"/>
  <c r="F63" i="1"/>
  <c r="F61" i="1"/>
  <c r="D60" i="1"/>
  <c r="F60" i="1"/>
  <c r="F57" i="1"/>
  <c r="F55" i="1"/>
  <c r="F54" i="1"/>
  <c r="F53" i="1"/>
  <c r="F51" i="1"/>
  <c r="F49" i="1"/>
  <c r="F47" i="1"/>
  <c r="F45" i="1"/>
  <c r="F43" i="1"/>
  <c r="F40" i="1"/>
  <c r="F39" i="1"/>
  <c r="F37" i="1"/>
  <c r="F36" i="1"/>
  <c r="F34" i="1"/>
  <c r="F33" i="1"/>
  <c r="F31" i="1"/>
  <c r="F29" i="1"/>
  <c r="F27" i="1"/>
  <c r="F24" i="1"/>
  <c r="F21" i="1"/>
  <c r="F18" i="1"/>
  <c r="F15" i="1"/>
  <c r="F12" i="1"/>
  <c r="F5" i="1"/>
  <c r="F2" i="1"/>
  <c r="D105" i="1" l="1"/>
  <c r="D102" i="1"/>
  <c r="D104" i="1"/>
  <c r="D101" i="1"/>
  <c r="D100" i="1"/>
  <c r="D99" i="1"/>
  <c r="D97" i="1"/>
  <c r="D95" i="1"/>
  <c r="D94" i="1"/>
  <c r="D93" i="1"/>
  <c r="D92" i="1"/>
  <c r="D85" i="1"/>
  <c r="D83" i="1"/>
  <c r="D81" i="1"/>
  <c r="D78" i="1"/>
  <c r="D76" i="1"/>
  <c r="D73" i="1"/>
  <c r="D72" i="1"/>
  <c r="D70" i="1"/>
  <c r="D67" i="1"/>
  <c r="D65" i="1"/>
  <c r="D63" i="1"/>
  <c r="D61" i="1"/>
  <c r="D58" i="1"/>
  <c r="D57" i="1"/>
  <c r="D55" i="1"/>
  <c r="D54" i="1"/>
  <c r="D53" i="1"/>
  <c r="D51" i="1"/>
  <c r="D49" i="1"/>
  <c r="D47" i="1"/>
  <c r="D45" i="1"/>
  <c r="D43" i="1"/>
  <c r="D40" i="1"/>
  <c r="D39" i="1"/>
  <c r="D37" i="1"/>
  <c r="D36" i="1"/>
  <c r="D34" i="1"/>
  <c r="D33" i="1"/>
  <c r="D31" i="1"/>
  <c r="D29" i="1"/>
  <c r="D27" i="1"/>
  <c r="D24" i="1"/>
  <c r="D21" i="1"/>
  <c r="D18" i="1"/>
  <c r="D15" i="1"/>
  <c r="D12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CBCE4667-A974-4583-8BDF-546A617C2DB6}">
      <text>
        <r>
          <rPr>
            <b/>
            <sz val="9"/>
            <color indexed="81"/>
            <rFont val="Tahoma"/>
            <family val="2"/>
            <charset val="161"/>
          </rPr>
          <t>User:</t>
        </r>
        <r>
          <rPr>
            <sz val="9"/>
            <color indexed="81"/>
            <rFont val="Tahoma"/>
            <family val="2"/>
            <charset val="161"/>
          </rPr>
          <t xml:space="preserve">
ΤΙΜΟΚΑΤΑΛΟΓΟΣ ΧΟΝΔΡΙΚΗΣ</t>
        </r>
      </text>
    </comment>
    <comment ref="E1" authorId="0" shapeId="0" xr:uid="{32F2399A-9C2B-4DAC-929B-0A38201E8C7E}">
      <text>
        <r>
          <rPr>
            <b/>
            <sz val="9"/>
            <color indexed="81"/>
            <rFont val="Tahoma"/>
            <family val="2"/>
            <charset val="161"/>
          </rPr>
          <t>User:</t>
        </r>
        <r>
          <rPr>
            <sz val="9"/>
            <color indexed="81"/>
            <rFont val="Tahoma"/>
            <family val="2"/>
            <charset val="161"/>
          </rPr>
          <t xml:space="preserve">
ΤΙΜΟΚΑΤΑΛΟΓΟΣ ΛΙΑΝΙΚΗΣ</t>
        </r>
      </text>
    </comment>
  </commentList>
</comments>
</file>

<file path=xl/sharedStrings.xml><?xml version="1.0" encoding="utf-8"?>
<sst xmlns="http://schemas.openxmlformats.org/spreadsheetml/2006/main" count="181" uniqueCount="114">
  <si>
    <t>ELVISEPT S</t>
  </si>
  <si>
    <t>SOPUROXID 15</t>
  </si>
  <si>
    <t>SODIUM HYPOCHLORITE</t>
  </si>
  <si>
    <t>CIP alkaline</t>
  </si>
  <si>
    <t>CIP acid</t>
  </si>
  <si>
    <t>CIP acid blend</t>
  </si>
  <si>
    <t>BEERLINE cleaner</t>
  </si>
  <si>
    <t>LACA SUPER</t>
  </si>
  <si>
    <t>ACTIVE alkaline foam</t>
  </si>
  <si>
    <t>ACTIVE acid foam</t>
  </si>
  <si>
    <t>ACTIVE chlor</t>
  </si>
  <si>
    <t>ACTIVE floor</t>
  </si>
  <si>
    <t>ΚΩΔΙΚΟΣ</t>
  </si>
  <si>
    <t>ΟΝΟΜΑ_ΠΡΟΙΟΝΤΟΣ</t>
  </si>
  <si>
    <t>ΤΙΜΗ_Α</t>
  </si>
  <si>
    <t>ΤΙΜΗ_Α_ΚΙΒΩΤΙΟ</t>
  </si>
  <si>
    <t>ΤΙΜΗ_Β</t>
  </si>
  <si>
    <t>ΤΙΜΗ_Β_ΚΙΒΩΤΙΟ</t>
  </si>
  <si>
    <t>LAVADIN eco</t>
  </si>
  <si>
    <t>WAT-389 plus</t>
  </si>
  <si>
    <t>DESTAINER chlor</t>
  </si>
  <si>
    <t>MAGNA new</t>
  </si>
  <si>
    <t>ELITE pro</t>
  </si>
  <si>
    <t>OK eco</t>
  </si>
  <si>
    <t>EVENY plus</t>
  </si>
  <si>
    <t>VENUS energy</t>
  </si>
  <si>
    <t>FORNO cleaner</t>
  </si>
  <si>
    <t>FORNO rinser</t>
  </si>
  <si>
    <t>LACA extra power</t>
  </si>
  <si>
    <t>BLACK power</t>
  </si>
  <si>
    <t>CARBON</t>
  </si>
  <si>
    <t>INOX polish</t>
  </si>
  <si>
    <t>NEO RAIN</t>
  </si>
  <si>
    <t>SILK plus</t>
  </si>
  <si>
    <t>SILK fresco</t>
  </si>
  <si>
    <t>SILK wood protect</t>
  </si>
  <si>
    <t>SILK shine</t>
  </si>
  <si>
    <t>DYNAMIC</t>
  </si>
  <si>
    <t>ODOUR free</t>
  </si>
  <si>
    <t>BRIGHT star</t>
  </si>
  <si>
    <t>PERLE foam</t>
  </si>
  <si>
    <t>WC gel</t>
  </si>
  <si>
    <t>POUDRE sense</t>
  </si>
  <si>
    <t>CLOG</t>
  </si>
  <si>
    <t>Υγρό πιάτων</t>
  </si>
  <si>
    <t>Αρωματικό χλώριο</t>
  </si>
  <si>
    <t>Παχύρευστο χλώριο</t>
  </si>
  <si>
    <t>LIQUID asem</t>
  </si>
  <si>
    <t>O2 liquid</t>
  </si>
  <si>
    <t>BOOSTER plus</t>
  </si>
  <si>
    <t>SMOOTH</t>
  </si>
  <si>
    <t>PLUS asem</t>
  </si>
  <si>
    <t>ECO asem</t>
  </si>
  <si>
    <t>OXYGEN powder</t>
  </si>
  <si>
    <t>BOOSTER powder</t>
  </si>
  <si>
    <t>AROMA fabric</t>
  </si>
  <si>
    <t>CARPET foam</t>
  </si>
  <si>
    <t>CARPET star</t>
  </si>
  <si>
    <t>DEFOAMER</t>
  </si>
  <si>
    <t>GRUPPO cleaner</t>
  </si>
  <si>
    <t>ALU tray</t>
  </si>
  <si>
    <t xml:space="preserve">Αραιωτής απορρυπαντικού </t>
  </si>
  <si>
    <t>Συσκευή αντισηπτικού gel</t>
  </si>
  <si>
    <t>Αντλία υγρού πιάτων</t>
  </si>
  <si>
    <t>Χειροκίνητη αντλία υγρού για δοχεία</t>
  </si>
  <si>
    <t>Πλυντήριου ASEM A40</t>
  </si>
  <si>
    <t>Πλυντήριου ASEM A50</t>
  </si>
  <si>
    <t>Πλυντήριου ASEM T110</t>
  </si>
  <si>
    <t>5203014002496C</t>
  </si>
  <si>
    <t>BLACK power.</t>
  </si>
  <si>
    <t>5203014003875C</t>
  </si>
  <si>
    <t>CIP acid blend.</t>
  </si>
  <si>
    <t>Υγρό γενικού καθαρισμού κεράσι</t>
  </si>
  <si>
    <t>Υγρό γενικού καθαρισμού λεβάντα</t>
  </si>
  <si>
    <t>Υγρό γενικού καθαρισμού φρεσκάδα</t>
  </si>
  <si>
    <t>ELVIQUAT</t>
  </si>
  <si>
    <t>INOX polish.</t>
  </si>
  <si>
    <t>5200421700168C</t>
  </si>
  <si>
    <t>5203014002601C</t>
  </si>
  <si>
    <t>Υγρό Τζαμιών</t>
  </si>
  <si>
    <t>Συσκευή διανομής αφροσάπόυνου / κρεμοσάπουνου</t>
  </si>
  <si>
    <t>Ψεκαστήρας διασποράς / αφρού 800 ml</t>
  </si>
  <si>
    <t>Δοσομετρική αντλία απορρυπαντικού πλυντηρίου πιάτων</t>
  </si>
  <si>
    <t>Δοσομετρική αντλία στεγνωτικού πλυντηρίου πιάτων</t>
  </si>
  <si>
    <t>Yγρό καθαρισμού χεριών ροζ</t>
  </si>
  <si>
    <t>Yγρό καθαρισμού χεριών Λευκό</t>
  </si>
  <si>
    <t>Συσκευή διανομής χειροπετσέτας autocut</t>
  </si>
  <si>
    <t>Συσκευή διανομής χειροπετσέτας autocut αυτόματη</t>
  </si>
  <si>
    <t>Συσκευή διανομής χειροπετσέτας τύπου ΖΙΚ ΖΑΚ</t>
  </si>
  <si>
    <t>Συσκευή διανομής επαγγελματικού χάρτου υγείας</t>
  </si>
  <si>
    <t>Συσκευή διανομής  χάρτου υγείας center pull</t>
  </si>
  <si>
    <t>Συσκευή διανομής  χάρτου υγείας φύλλο - φύλλο</t>
  </si>
  <si>
    <t>ΧΑΡΤ0014</t>
  </si>
  <si>
    <t>Ρολο κουζίνας (6x700gr)</t>
  </si>
  <si>
    <t>ΧΑΡΤ0026</t>
  </si>
  <si>
    <t>Βιομηχανικό χαρτί (3x2kg)</t>
  </si>
  <si>
    <t>ΧΑΡΤ0010</t>
  </si>
  <si>
    <t>Βιομηχανικό χαρτί Jumbo (2x4.5kg)</t>
  </si>
  <si>
    <t>ΧΑΡΤ0046</t>
  </si>
  <si>
    <t>Βιομηχανικό χαρτί Jumbo Craft (2x4kg)</t>
  </si>
  <si>
    <t>ΧΑΡΤ0001</t>
  </si>
  <si>
    <t>Χειροπετσέτα Autocut (6x800gr)</t>
  </si>
  <si>
    <t>ΧΑΡΤ0007</t>
  </si>
  <si>
    <t>Χειροπετσέτα Ζικ Ζακ A (4000Φ)</t>
  </si>
  <si>
    <t>ΧΑΡΤ0009</t>
  </si>
  <si>
    <t>Χειροπετσέτα Ζικ Ζακ B (4000Φ)</t>
  </si>
  <si>
    <t>ΧΑΡΤ0044</t>
  </si>
  <si>
    <t>Χειροπετσέτα Ζικ Ζακ τύπου TORK (2400Φ)</t>
  </si>
  <si>
    <t>ΧΑΡΤ0003</t>
  </si>
  <si>
    <t>Χαρτί υγείας επαγγελματικό (12x450gr)</t>
  </si>
  <si>
    <t>ΧΑΡΤ0002</t>
  </si>
  <si>
    <t>Χαρτί υγείας Center Pull (6x600gr)</t>
  </si>
  <si>
    <t>ΧΑΡΤ0041</t>
  </si>
  <si>
    <t>Χαρτί υγείας Φύλλο/Φύλλο (8000Φ)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</si>
</sst>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  <font>
      <sz val="11"/>
      <color rgb="FF000000"/>
      <name val="Calibri"/>
      <family val="2"/>
      <charset val="161"/>
    </font>
    <font>
      <sz val="1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0" xfId="0" applyFont="1" applyFill="1"/>
    <xf numFmtId="2" fontId="0" fillId="0" borderId="0" xfId="0" applyNumberFormat="1"/>
    <xf numFmtId="1" fontId="5" fillId="3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E1DCA5B4-37CD-4F14-8266-D8923CEC1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ADB2-C63F-4BFD-A9F4-0E01BDEFF5AA}">
  <dimension ref="A1:F161"/>
  <sheetViews>
    <sheetView tabSelected="1" topLeftCell="A137" workbookViewId="0">
      <selection activeCell="F173" sqref="F173"/>
    </sheetView>
  </sheetViews>
  <sheetFormatPr defaultRowHeight="15" x14ac:dyDescent="0.25"/>
  <cols>
    <col min="1" max="1" width="78.140625" customWidth="1"/>
    <col min="2" max="2" width="51.85546875" customWidth="1"/>
    <col min="3" max="3" width="31" customWidth="1"/>
    <col min="4" max="4" width="20.7109375" customWidth="1"/>
    <col min="5" max="5" width="22.7109375" customWidth="1"/>
    <col min="6" max="6" width="23.140625" customWidth="1"/>
    <col min="7" max="7" width="23.8554687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4">
        <v>5203014002625</v>
      </c>
      <c r="B2" t="s">
        <v>18</v>
      </c>
      <c r="C2" s="2">
        <v>13.4</v>
      </c>
      <c r="D2" s="2">
        <v>53.2</v>
      </c>
      <c r="E2" s="2">
        <v>10.8</v>
      </c>
      <c r="F2" s="2">
        <f>E2*4</f>
        <v>43.2</v>
      </c>
    </row>
    <row r="3" spans="1:6" x14ac:dyDescent="0.25">
      <c r="A3" s="4">
        <v>5203014003561</v>
      </c>
      <c r="B3" t="s">
        <v>18</v>
      </c>
      <c r="C3" s="2">
        <v>31.9</v>
      </c>
      <c r="D3" s="2"/>
      <c r="E3" s="2">
        <v>26.2</v>
      </c>
      <c r="F3" s="2"/>
    </row>
    <row r="4" spans="1:6" x14ac:dyDescent="0.25">
      <c r="A4" s="4">
        <v>5203014002403</v>
      </c>
      <c r="B4" t="s">
        <v>18</v>
      </c>
      <c r="C4" s="2">
        <v>61.2</v>
      </c>
      <c r="D4" s="2"/>
      <c r="E4" s="2">
        <v>50.3</v>
      </c>
      <c r="F4" s="2"/>
    </row>
    <row r="5" spans="1:6" x14ac:dyDescent="0.25">
      <c r="A5" s="4">
        <v>5203014002366</v>
      </c>
      <c r="B5" t="s">
        <v>19</v>
      </c>
      <c r="C5" s="2">
        <v>22.5</v>
      </c>
      <c r="D5" s="2">
        <f>C5*2</f>
        <v>45</v>
      </c>
      <c r="E5" s="2">
        <v>19.3</v>
      </c>
      <c r="F5" s="2">
        <f>E5*2</f>
        <v>38.6</v>
      </c>
    </row>
    <row r="6" spans="1:6" x14ac:dyDescent="0.25">
      <c r="A6" s="4">
        <v>5203014002373</v>
      </c>
      <c r="B6" t="s">
        <v>19</v>
      </c>
      <c r="C6" s="2">
        <v>42.7</v>
      </c>
      <c r="D6" s="2"/>
      <c r="E6" s="2">
        <v>36.5</v>
      </c>
      <c r="F6" s="2"/>
    </row>
    <row r="7" spans="1:6" x14ac:dyDescent="0.25">
      <c r="A7" s="4">
        <v>5203014002380</v>
      </c>
      <c r="B7" t="s">
        <v>19</v>
      </c>
      <c r="C7" s="2">
        <v>81.599999999999994</v>
      </c>
      <c r="D7" s="2"/>
      <c r="E7" s="2">
        <v>68.900000000000006</v>
      </c>
      <c r="F7" s="2"/>
    </row>
    <row r="8" spans="1:6" x14ac:dyDescent="0.25">
      <c r="A8" s="4">
        <v>5203014002793</v>
      </c>
      <c r="B8" t="s">
        <v>60</v>
      </c>
      <c r="C8" s="2">
        <v>43.3</v>
      </c>
      <c r="D8" s="2"/>
      <c r="E8" s="2">
        <v>36.700000000000003</v>
      </c>
      <c r="F8" s="2"/>
    </row>
    <row r="9" spans="1:6" x14ac:dyDescent="0.25">
      <c r="A9" s="4">
        <v>5203014002809</v>
      </c>
      <c r="B9" t="s">
        <v>60</v>
      </c>
      <c r="C9" s="2">
        <v>82.8</v>
      </c>
      <c r="D9" s="2"/>
      <c r="E9" s="2">
        <v>70.2</v>
      </c>
      <c r="F9" s="2"/>
    </row>
    <row r="10" spans="1:6" x14ac:dyDescent="0.25">
      <c r="A10" s="4">
        <v>5203014003790</v>
      </c>
      <c r="B10" t="s">
        <v>20</v>
      </c>
      <c r="C10" s="2">
        <v>32.5</v>
      </c>
      <c r="D10" s="2"/>
      <c r="E10" s="2">
        <v>32.200000000000003</v>
      </c>
      <c r="F10" s="2"/>
    </row>
    <row r="11" spans="1:6" x14ac:dyDescent="0.25">
      <c r="A11" s="4">
        <v>5203014003806</v>
      </c>
      <c r="B11" t="s">
        <v>20</v>
      </c>
      <c r="C11" s="2">
        <v>62.4</v>
      </c>
      <c r="D11" s="2"/>
      <c r="E11" s="2">
        <v>61.8</v>
      </c>
      <c r="F11" s="2"/>
    </row>
    <row r="12" spans="1:6" x14ac:dyDescent="0.25">
      <c r="A12" s="4">
        <v>5203014002304</v>
      </c>
      <c r="B12" t="s">
        <v>21</v>
      </c>
      <c r="C12" s="2">
        <v>27.2</v>
      </c>
      <c r="D12" s="2">
        <f t="shared" ref="D12" si="0">C12*2</f>
        <v>54.4</v>
      </c>
      <c r="E12" s="2">
        <v>27.2</v>
      </c>
      <c r="F12" s="2">
        <f>E12*2</f>
        <v>54.4</v>
      </c>
    </row>
    <row r="13" spans="1:6" x14ac:dyDescent="0.25">
      <c r="A13" s="4">
        <v>5203014002311</v>
      </c>
      <c r="B13" t="s">
        <v>21</v>
      </c>
      <c r="C13" s="2">
        <v>51.9</v>
      </c>
      <c r="D13" s="2"/>
      <c r="E13" s="2">
        <v>51.9</v>
      </c>
      <c r="F13" s="2"/>
    </row>
    <row r="14" spans="1:6" x14ac:dyDescent="0.25">
      <c r="A14" s="4">
        <v>5203014002328</v>
      </c>
      <c r="B14" t="s">
        <v>21</v>
      </c>
      <c r="C14" s="2">
        <v>98.9</v>
      </c>
      <c r="D14" s="2"/>
      <c r="E14" s="2">
        <v>98.9</v>
      </c>
      <c r="F14" s="2"/>
    </row>
    <row r="15" spans="1:6" x14ac:dyDescent="0.25">
      <c r="A15" s="4">
        <v>5203014002335</v>
      </c>
      <c r="B15" t="s">
        <v>22</v>
      </c>
      <c r="C15" s="2">
        <v>35.200000000000003</v>
      </c>
      <c r="D15" s="2">
        <f t="shared" ref="D15" si="1">C15*2</f>
        <v>70.400000000000006</v>
      </c>
      <c r="E15" s="2">
        <v>27.2</v>
      </c>
      <c r="F15" s="2">
        <f>E15*2</f>
        <v>54.4</v>
      </c>
    </row>
    <row r="16" spans="1:6" x14ac:dyDescent="0.25">
      <c r="A16" s="4">
        <v>5203014002342</v>
      </c>
      <c r="B16" t="s">
        <v>22</v>
      </c>
      <c r="C16" s="2">
        <v>66.8</v>
      </c>
      <c r="D16" s="2"/>
      <c r="E16" s="2">
        <v>51.9</v>
      </c>
      <c r="F16" s="2"/>
    </row>
    <row r="17" spans="1:6" x14ac:dyDescent="0.25">
      <c r="A17" s="4">
        <v>5203014002359</v>
      </c>
      <c r="B17" t="s">
        <v>22</v>
      </c>
      <c r="C17" s="2">
        <v>127.8</v>
      </c>
      <c r="D17" s="2"/>
      <c r="E17" s="2">
        <v>98.9</v>
      </c>
      <c r="F17" s="2"/>
    </row>
    <row r="18" spans="1:6" x14ac:dyDescent="0.25">
      <c r="A18" s="4">
        <v>5203014002618</v>
      </c>
      <c r="B18" t="s">
        <v>23</v>
      </c>
      <c r="C18" s="2">
        <v>15.6</v>
      </c>
      <c r="D18" s="2">
        <f>C18*4</f>
        <v>62.4</v>
      </c>
      <c r="E18" s="2">
        <v>11.9</v>
      </c>
      <c r="F18" s="2">
        <f>E18*4</f>
        <v>47.6</v>
      </c>
    </row>
    <row r="19" spans="1:6" x14ac:dyDescent="0.25">
      <c r="A19" s="4">
        <v>5203014002465</v>
      </c>
      <c r="B19" t="s">
        <v>23</v>
      </c>
      <c r="C19" s="2">
        <v>37.200000000000003</v>
      </c>
      <c r="D19" s="2"/>
      <c r="E19" s="2">
        <v>27.8</v>
      </c>
      <c r="F19" s="2"/>
    </row>
    <row r="20" spans="1:6" x14ac:dyDescent="0.25">
      <c r="A20" s="4">
        <v>5203014002472</v>
      </c>
      <c r="B20" t="s">
        <v>23</v>
      </c>
      <c r="C20" s="2">
        <v>71.2</v>
      </c>
      <c r="D20" s="2"/>
      <c r="E20" s="2">
        <v>52.3</v>
      </c>
      <c r="F20" s="2"/>
    </row>
    <row r="21" spans="1:6" x14ac:dyDescent="0.25">
      <c r="A21" s="4">
        <v>5203014002434</v>
      </c>
      <c r="B21" t="s">
        <v>24</v>
      </c>
      <c r="C21" s="2">
        <v>23.6</v>
      </c>
      <c r="D21" s="2">
        <f>C21*2</f>
        <v>47.2</v>
      </c>
      <c r="E21" s="2">
        <v>20.9</v>
      </c>
      <c r="F21" s="2">
        <f>E21*2</f>
        <v>41.8</v>
      </c>
    </row>
    <row r="22" spans="1:6" x14ac:dyDescent="0.25">
      <c r="A22" s="4">
        <v>5203014002441</v>
      </c>
      <c r="B22" t="s">
        <v>24</v>
      </c>
      <c r="C22" s="2">
        <v>44.3</v>
      </c>
      <c r="D22" s="2"/>
      <c r="E22" s="2">
        <v>39.799999999999997</v>
      </c>
      <c r="F22" s="2"/>
    </row>
    <row r="23" spans="1:6" x14ac:dyDescent="0.25">
      <c r="A23" s="4">
        <v>5203014002458</v>
      </c>
      <c r="B23" t="s">
        <v>24</v>
      </c>
      <c r="C23" s="2">
        <v>84.8</v>
      </c>
      <c r="D23" s="2"/>
      <c r="E23" s="2">
        <v>76.5</v>
      </c>
      <c r="F23" s="2"/>
    </row>
    <row r="24" spans="1:6" x14ac:dyDescent="0.25">
      <c r="A24" s="4">
        <v>5203014002410</v>
      </c>
      <c r="B24" t="s">
        <v>25</v>
      </c>
      <c r="C24" s="2">
        <v>26.9</v>
      </c>
      <c r="D24" s="2">
        <f>C24*2</f>
        <v>53.8</v>
      </c>
      <c r="E24" s="2">
        <v>26.9</v>
      </c>
      <c r="F24" s="2">
        <f>E24*2</f>
        <v>53.8</v>
      </c>
    </row>
    <row r="25" spans="1:6" x14ac:dyDescent="0.25">
      <c r="A25" s="4">
        <v>5203014002427</v>
      </c>
      <c r="B25" t="s">
        <v>25</v>
      </c>
      <c r="C25" s="2">
        <v>51.3</v>
      </c>
      <c r="D25" s="2"/>
      <c r="E25" s="2">
        <v>51.3</v>
      </c>
      <c r="F25" s="2"/>
    </row>
    <row r="26" spans="1:6" x14ac:dyDescent="0.25">
      <c r="A26" s="4">
        <v>5203014003486</v>
      </c>
      <c r="B26" t="s">
        <v>25</v>
      </c>
      <c r="C26" s="2">
        <v>98.1</v>
      </c>
      <c r="D26" s="2"/>
      <c r="E26" s="2">
        <v>98.1</v>
      </c>
      <c r="F26" s="2"/>
    </row>
    <row r="27" spans="1:6" x14ac:dyDescent="0.25">
      <c r="A27" s="4">
        <v>5203014002816</v>
      </c>
      <c r="B27" t="s">
        <v>26</v>
      </c>
      <c r="C27" s="2">
        <v>27.8</v>
      </c>
      <c r="D27" s="2">
        <f>C27*2</f>
        <v>55.6</v>
      </c>
      <c r="E27" s="2">
        <v>27.8</v>
      </c>
      <c r="F27" s="2">
        <f>E27*2</f>
        <v>55.6</v>
      </c>
    </row>
    <row r="28" spans="1:6" x14ac:dyDescent="0.25">
      <c r="A28" s="4">
        <v>5203014003721</v>
      </c>
      <c r="B28" t="s">
        <v>26</v>
      </c>
      <c r="C28" s="2">
        <v>52.9</v>
      </c>
      <c r="D28" s="2"/>
      <c r="E28" s="2">
        <v>52.9</v>
      </c>
      <c r="F28" s="2"/>
    </row>
    <row r="29" spans="1:6" x14ac:dyDescent="0.25">
      <c r="A29" s="4">
        <v>5203014002823</v>
      </c>
      <c r="B29" t="s">
        <v>27</v>
      </c>
      <c r="C29" s="2">
        <v>27.9</v>
      </c>
      <c r="D29" s="2">
        <f>C29*2</f>
        <v>55.8</v>
      </c>
      <c r="E29" s="2">
        <v>27.9</v>
      </c>
      <c r="F29" s="2">
        <f>E29*2</f>
        <v>55.8</v>
      </c>
    </row>
    <row r="30" spans="1:6" x14ac:dyDescent="0.25">
      <c r="A30" s="4">
        <v>5203014003738</v>
      </c>
      <c r="B30" t="s">
        <v>27</v>
      </c>
      <c r="C30" s="2">
        <v>53.3</v>
      </c>
      <c r="D30" s="2"/>
      <c r="E30" s="2">
        <v>53.5</v>
      </c>
      <c r="F30" s="2"/>
    </row>
    <row r="31" spans="1:6" x14ac:dyDescent="0.25">
      <c r="A31" s="4">
        <v>5203014002489</v>
      </c>
      <c r="B31" t="s">
        <v>28</v>
      </c>
      <c r="C31" s="2">
        <v>18.8</v>
      </c>
      <c r="D31" s="2">
        <f>C31*2</f>
        <v>37.6</v>
      </c>
      <c r="E31" s="2">
        <v>18.8</v>
      </c>
      <c r="F31" s="2">
        <f>E31*2</f>
        <v>37.6</v>
      </c>
    </row>
    <row r="32" spans="1:6" x14ac:dyDescent="0.25">
      <c r="A32" s="4">
        <v>5203014003493</v>
      </c>
      <c r="B32" t="s">
        <v>28</v>
      </c>
      <c r="C32" s="2">
        <v>71.599999999999994</v>
      </c>
      <c r="D32" s="2"/>
      <c r="E32" s="2">
        <v>71.599999999999994</v>
      </c>
      <c r="F32" s="2"/>
    </row>
    <row r="33" spans="1:6" x14ac:dyDescent="0.25">
      <c r="A33" s="4">
        <v>5203014002496</v>
      </c>
      <c r="B33" t="s">
        <v>29</v>
      </c>
      <c r="C33" s="2">
        <v>4.95</v>
      </c>
      <c r="D33" s="2">
        <f>C33*8</f>
        <v>39.6</v>
      </c>
      <c r="E33" s="2">
        <v>4.95</v>
      </c>
      <c r="F33" s="2">
        <f>E33*8</f>
        <v>39.6</v>
      </c>
    </row>
    <row r="34" spans="1:6" x14ac:dyDescent="0.25">
      <c r="A34" s="4">
        <v>5203014002502</v>
      </c>
      <c r="B34" t="s">
        <v>29</v>
      </c>
      <c r="C34" s="2">
        <v>18.8</v>
      </c>
      <c r="D34" s="2">
        <f>C34*2</f>
        <v>37.6</v>
      </c>
      <c r="E34" s="2">
        <v>18.8</v>
      </c>
      <c r="F34" s="2">
        <f>E34*2</f>
        <v>37.6</v>
      </c>
    </row>
    <row r="35" spans="1:6" x14ac:dyDescent="0.25">
      <c r="A35" s="4">
        <v>5203014003509</v>
      </c>
      <c r="B35" t="s">
        <v>29</v>
      </c>
      <c r="C35" s="2">
        <v>35.9</v>
      </c>
      <c r="D35" s="2"/>
      <c r="E35" s="2">
        <v>35.9</v>
      </c>
      <c r="F35" s="2"/>
    </row>
    <row r="36" spans="1:6" x14ac:dyDescent="0.25">
      <c r="A36" s="4">
        <v>5203014003516</v>
      </c>
      <c r="B36" t="s">
        <v>30</v>
      </c>
      <c r="C36" s="2">
        <v>5.4</v>
      </c>
      <c r="D36" s="2">
        <f>C36*8</f>
        <v>43.2</v>
      </c>
      <c r="E36" s="2">
        <v>5.4</v>
      </c>
      <c r="F36" s="2">
        <f>E36*8</f>
        <v>43.2</v>
      </c>
    </row>
    <row r="37" spans="1:6" x14ac:dyDescent="0.25">
      <c r="A37" s="4">
        <v>5203014002519</v>
      </c>
      <c r="B37" t="s">
        <v>30</v>
      </c>
      <c r="C37" s="2">
        <v>20.3</v>
      </c>
      <c r="D37" s="2">
        <f>C37*2</f>
        <v>40.6</v>
      </c>
      <c r="E37" s="2">
        <v>20.3</v>
      </c>
      <c r="F37" s="2">
        <f>E37*2</f>
        <v>40.6</v>
      </c>
    </row>
    <row r="38" spans="1:6" x14ac:dyDescent="0.25">
      <c r="A38" s="4">
        <v>5203014003523</v>
      </c>
      <c r="B38" t="s">
        <v>30</v>
      </c>
      <c r="C38" s="2">
        <v>38.700000000000003</v>
      </c>
      <c r="D38" s="2"/>
      <c r="E38" s="2">
        <v>38.700000000000003</v>
      </c>
      <c r="F38" s="2"/>
    </row>
    <row r="39" spans="1:6" x14ac:dyDescent="0.25">
      <c r="A39" s="4">
        <v>5203014002601</v>
      </c>
      <c r="B39" t="s">
        <v>31</v>
      </c>
      <c r="C39" s="2">
        <v>6.95</v>
      </c>
      <c r="D39" s="2">
        <f>C39*8</f>
        <v>55.6</v>
      </c>
      <c r="E39" s="2">
        <v>6.95</v>
      </c>
      <c r="F39" s="2">
        <f>E39*8</f>
        <v>55.6</v>
      </c>
    </row>
    <row r="40" spans="1:6" x14ac:dyDescent="0.25">
      <c r="A40" s="4">
        <v>5203014003776</v>
      </c>
      <c r="B40" t="s">
        <v>32</v>
      </c>
      <c r="C40" s="2">
        <v>9.9499999999999993</v>
      </c>
      <c r="D40" s="2">
        <f>C40*2</f>
        <v>19.899999999999999</v>
      </c>
      <c r="E40" s="2">
        <v>9.9499999999999993</v>
      </c>
      <c r="F40" s="2">
        <f>E40*2</f>
        <v>19.899999999999999</v>
      </c>
    </row>
    <row r="41" spans="1:6" x14ac:dyDescent="0.25">
      <c r="A41" s="4">
        <v>5203014002564</v>
      </c>
      <c r="B41" t="s">
        <v>32</v>
      </c>
      <c r="C41" s="2">
        <v>19.100000000000001</v>
      </c>
      <c r="D41" s="2"/>
      <c r="E41" s="2">
        <v>19.100000000000001</v>
      </c>
      <c r="F41" s="2"/>
    </row>
    <row r="42" spans="1:6" x14ac:dyDescent="0.25">
      <c r="A42" s="4">
        <v>5203014005992</v>
      </c>
      <c r="B42" t="s">
        <v>32</v>
      </c>
      <c r="C42" s="2">
        <v>36.4</v>
      </c>
      <c r="D42" s="2"/>
      <c r="E42" s="2">
        <v>36.4</v>
      </c>
      <c r="F42" s="2"/>
    </row>
    <row r="43" spans="1:6" x14ac:dyDescent="0.25">
      <c r="A43" s="4">
        <v>5203014003967</v>
      </c>
      <c r="B43" t="s">
        <v>33</v>
      </c>
      <c r="C43" s="2">
        <v>11.4</v>
      </c>
      <c r="D43" s="2">
        <f>C43*2</f>
        <v>22.8</v>
      </c>
      <c r="E43" s="2">
        <v>11.4</v>
      </c>
      <c r="F43" s="2">
        <f>E43*2</f>
        <v>22.8</v>
      </c>
    </row>
    <row r="44" spans="1:6" x14ac:dyDescent="0.25">
      <c r="A44" s="4">
        <v>5203014003615</v>
      </c>
      <c r="B44" t="s">
        <v>33</v>
      </c>
      <c r="C44" s="2">
        <v>22.2</v>
      </c>
      <c r="D44" s="2"/>
      <c r="E44" s="2">
        <v>22.2</v>
      </c>
      <c r="F44" s="2"/>
    </row>
    <row r="45" spans="1:6" x14ac:dyDescent="0.25">
      <c r="A45" s="4">
        <v>5203014003639</v>
      </c>
      <c r="B45" t="s">
        <v>34</v>
      </c>
      <c r="C45" s="2">
        <v>9.9</v>
      </c>
      <c r="D45" s="2">
        <f>C45*2</f>
        <v>19.8</v>
      </c>
      <c r="E45" s="2">
        <v>9.9</v>
      </c>
      <c r="F45" s="2">
        <f>E45*2</f>
        <v>19.8</v>
      </c>
    </row>
    <row r="46" spans="1:6" x14ac:dyDescent="0.25">
      <c r="A46" s="4">
        <v>5203014234989</v>
      </c>
      <c r="B46" t="s">
        <v>34</v>
      </c>
      <c r="C46" s="2">
        <v>18.8</v>
      </c>
      <c r="D46" s="2"/>
      <c r="E46" s="2">
        <v>18.8</v>
      </c>
      <c r="F46" s="2"/>
    </row>
    <row r="47" spans="1:6" x14ac:dyDescent="0.25">
      <c r="A47" s="4">
        <v>5203014002588</v>
      </c>
      <c r="B47" t="s">
        <v>35</v>
      </c>
      <c r="C47" s="2">
        <v>19.100000000000001</v>
      </c>
      <c r="D47" s="2">
        <f>C47*2</f>
        <v>38.200000000000003</v>
      </c>
      <c r="E47" s="2">
        <v>19.100000000000001</v>
      </c>
      <c r="F47" s="2">
        <f>E47*2</f>
        <v>38.200000000000003</v>
      </c>
    </row>
    <row r="48" spans="1:6" x14ac:dyDescent="0.25">
      <c r="A48" s="4">
        <v>5203014003622</v>
      </c>
      <c r="B48" t="s">
        <v>35</v>
      </c>
      <c r="C48" s="2">
        <v>36.200000000000003</v>
      </c>
      <c r="D48" s="2"/>
      <c r="E48" s="2">
        <v>36.200000000000003</v>
      </c>
      <c r="F48" s="2"/>
    </row>
    <row r="49" spans="1:6" x14ac:dyDescent="0.25">
      <c r="A49" s="4">
        <v>5203014003714</v>
      </c>
      <c r="B49" t="s">
        <v>36</v>
      </c>
      <c r="C49" s="2">
        <v>19.3</v>
      </c>
      <c r="D49" s="2">
        <f>C49*2</f>
        <v>38.6</v>
      </c>
      <c r="E49" s="2">
        <v>19.3</v>
      </c>
      <c r="F49" s="2">
        <f>E49*2</f>
        <v>38.6</v>
      </c>
    </row>
    <row r="50" spans="1:6" x14ac:dyDescent="0.25">
      <c r="A50" s="4">
        <v>5203014003646</v>
      </c>
      <c r="B50" t="s">
        <v>36</v>
      </c>
      <c r="C50" s="2">
        <v>36.4</v>
      </c>
      <c r="D50" s="2"/>
      <c r="E50" s="2">
        <v>36.200000000000003</v>
      </c>
      <c r="F50" s="2"/>
    </row>
    <row r="51" spans="1:6" x14ac:dyDescent="0.25">
      <c r="A51" s="4">
        <v>5203014002526</v>
      </c>
      <c r="B51" t="s">
        <v>37</v>
      </c>
      <c r="C51" s="2">
        <v>13.8</v>
      </c>
      <c r="D51" s="2">
        <f>C51*2</f>
        <v>27.6</v>
      </c>
      <c r="E51" s="2">
        <v>13.8</v>
      </c>
      <c r="F51" s="2">
        <f>E51*2</f>
        <v>27.6</v>
      </c>
    </row>
    <row r="52" spans="1:6" x14ac:dyDescent="0.25">
      <c r="A52" s="4">
        <v>5203014232336</v>
      </c>
      <c r="B52" t="s">
        <v>37</v>
      </c>
      <c r="C52" s="2">
        <v>26.1</v>
      </c>
      <c r="D52" s="2"/>
      <c r="E52" s="2">
        <v>26.1</v>
      </c>
      <c r="F52" s="2"/>
    </row>
    <row r="53" spans="1:6" x14ac:dyDescent="0.25">
      <c r="A53" s="4">
        <v>5203014006784</v>
      </c>
      <c r="B53" t="s">
        <v>38</v>
      </c>
      <c r="C53" s="2">
        <v>17.899999999999999</v>
      </c>
      <c r="D53" s="2">
        <f>C53*4</f>
        <v>71.599999999999994</v>
      </c>
      <c r="E53" s="2">
        <v>17.899999999999999</v>
      </c>
      <c r="F53" s="2">
        <f>E53*4</f>
        <v>71.599999999999994</v>
      </c>
    </row>
    <row r="54" spans="1:6" x14ac:dyDescent="0.25">
      <c r="A54" s="4">
        <v>5203014233753</v>
      </c>
      <c r="B54" t="s">
        <v>39</v>
      </c>
      <c r="C54" s="2">
        <v>4.5999999999999996</v>
      </c>
      <c r="D54" s="2">
        <f>C54*8</f>
        <v>36.799999999999997</v>
      </c>
      <c r="E54" s="2">
        <v>4.5999999999999996</v>
      </c>
      <c r="F54" s="2">
        <f>E54*8</f>
        <v>36.799999999999997</v>
      </c>
    </row>
    <row r="55" spans="1:6" x14ac:dyDescent="0.25">
      <c r="A55" s="4">
        <v>5203014002540</v>
      </c>
      <c r="B55" t="s">
        <v>39</v>
      </c>
      <c r="C55" s="2">
        <v>16.2</v>
      </c>
      <c r="D55" s="2">
        <f>C55*2</f>
        <v>32.4</v>
      </c>
      <c r="E55" s="2">
        <v>16.2</v>
      </c>
      <c r="F55" s="2">
        <f>E55*2</f>
        <v>32.4</v>
      </c>
    </row>
    <row r="56" spans="1:6" x14ac:dyDescent="0.25">
      <c r="A56" s="4">
        <v>5203014002663</v>
      </c>
      <c r="B56" t="s">
        <v>39</v>
      </c>
      <c r="C56" s="2">
        <v>30.8</v>
      </c>
      <c r="D56" s="2"/>
      <c r="E56" s="2">
        <v>30.8</v>
      </c>
      <c r="F56" s="2"/>
    </row>
    <row r="57" spans="1:6" x14ac:dyDescent="0.25">
      <c r="A57" s="4">
        <v>5203014002533</v>
      </c>
      <c r="B57" t="s">
        <v>40</v>
      </c>
      <c r="C57" s="2">
        <v>12.1</v>
      </c>
      <c r="D57" s="2">
        <f>C57*2</f>
        <v>24.2</v>
      </c>
      <c r="E57" s="2">
        <v>12.1</v>
      </c>
      <c r="F57" s="2">
        <f>E57*2</f>
        <v>24.2</v>
      </c>
    </row>
    <row r="58" spans="1:6" x14ac:dyDescent="0.25">
      <c r="A58" s="4">
        <v>5203014003554</v>
      </c>
      <c r="B58" t="s">
        <v>41</v>
      </c>
      <c r="C58" s="2">
        <v>3.9</v>
      </c>
      <c r="D58" s="2">
        <f>C58*10</f>
        <v>39</v>
      </c>
      <c r="E58" s="2">
        <v>3.9</v>
      </c>
      <c r="F58" s="2">
        <v>36</v>
      </c>
    </row>
    <row r="59" spans="1:6" x14ac:dyDescent="0.25">
      <c r="A59" s="4">
        <v>5203014002908</v>
      </c>
      <c r="B59" t="s">
        <v>42</v>
      </c>
      <c r="C59" s="2">
        <v>12.1</v>
      </c>
      <c r="D59" s="2">
        <v>23</v>
      </c>
      <c r="E59" s="2">
        <v>12.1</v>
      </c>
      <c r="F59" s="2">
        <v>3</v>
      </c>
    </row>
    <row r="60" spans="1:6" x14ac:dyDescent="0.25">
      <c r="A60" s="4">
        <v>5203014003226</v>
      </c>
      <c r="B60" t="s">
        <v>43</v>
      </c>
      <c r="C60" s="2">
        <v>7.6</v>
      </c>
      <c r="D60" s="2">
        <f>C60*15</f>
        <v>114</v>
      </c>
      <c r="E60" s="2">
        <v>7.6</v>
      </c>
      <c r="F60" s="2">
        <f>E60*15</f>
        <v>114</v>
      </c>
    </row>
    <row r="61" spans="1:6" x14ac:dyDescent="0.25">
      <c r="A61" s="4">
        <v>5203014002120</v>
      </c>
      <c r="B61" t="s">
        <v>72</v>
      </c>
      <c r="C61" s="2">
        <v>4.0999999999999996</v>
      </c>
      <c r="D61" s="2">
        <f>C61*4</f>
        <v>16.399999999999999</v>
      </c>
      <c r="E61" s="2">
        <v>3.9</v>
      </c>
      <c r="F61" s="2">
        <f>E61*4</f>
        <v>15.6</v>
      </c>
    </row>
    <row r="62" spans="1:6" x14ac:dyDescent="0.25">
      <c r="A62" s="4">
        <v>5203014002083</v>
      </c>
      <c r="B62" t="s">
        <v>72</v>
      </c>
      <c r="C62" s="2">
        <v>10.4</v>
      </c>
      <c r="D62" s="2"/>
      <c r="E62" s="2">
        <v>9.4</v>
      </c>
      <c r="F62" s="2"/>
    </row>
    <row r="63" spans="1:6" x14ac:dyDescent="0.25">
      <c r="A63" s="4">
        <v>5203014001567</v>
      </c>
      <c r="B63" t="s">
        <v>73</v>
      </c>
      <c r="C63" s="2">
        <v>4.0999999999999996</v>
      </c>
      <c r="D63" s="2">
        <f>C63*4</f>
        <v>16.399999999999999</v>
      </c>
      <c r="E63" s="2">
        <v>3.9</v>
      </c>
      <c r="F63" s="2">
        <f>E63*4</f>
        <v>15.6</v>
      </c>
    </row>
    <row r="64" spans="1:6" x14ac:dyDescent="0.25">
      <c r="A64" s="4">
        <v>5203014003578</v>
      </c>
      <c r="B64" t="s">
        <v>73</v>
      </c>
      <c r="C64" s="2">
        <v>10.4</v>
      </c>
      <c r="D64" s="2"/>
      <c r="E64" s="2">
        <v>9.4</v>
      </c>
      <c r="F64" s="2"/>
    </row>
    <row r="65" spans="1:6" x14ac:dyDescent="0.25">
      <c r="A65" s="4">
        <v>5203014000782</v>
      </c>
      <c r="B65" t="s">
        <v>74</v>
      </c>
      <c r="C65" s="2">
        <v>4.0999999999999996</v>
      </c>
      <c r="D65" s="2">
        <f>C65*4</f>
        <v>16.399999999999999</v>
      </c>
      <c r="E65" s="2">
        <v>3.9</v>
      </c>
      <c r="F65" s="2">
        <f>E65*4</f>
        <v>15.6</v>
      </c>
    </row>
    <row r="66" spans="1:6" x14ac:dyDescent="0.25">
      <c r="A66" s="4">
        <v>5203014009617</v>
      </c>
      <c r="B66" t="s">
        <v>74</v>
      </c>
      <c r="C66" s="2">
        <v>10.4</v>
      </c>
      <c r="D66" s="2"/>
      <c r="E66" s="2">
        <v>9.4</v>
      </c>
      <c r="F66" s="2"/>
    </row>
    <row r="67" spans="1:6" x14ac:dyDescent="0.25">
      <c r="A67" s="4">
        <v>5203014000010</v>
      </c>
      <c r="B67" t="s">
        <v>44</v>
      </c>
      <c r="C67" s="2">
        <v>4.9000000000000004</v>
      </c>
      <c r="D67" s="2">
        <f t="shared" ref="D67" si="2">C67*4</f>
        <v>19.600000000000001</v>
      </c>
      <c r="E67" s="2">
        <v>4.9000000000000004</v>
      </c>
      <c r="F67" s="2">
        <f t="shared" ref="F67" si="3">E67*4</f>
        <v>19.600000000000001</v>
      </c>
    </row>
    <row r="68" spans="1:6" x14ac:dyDescent="0.25">
      <c r="A68" s="4">
        <v>5203014002571</v>
      </c>
      <c r="B68" t="s">
        <v>44</v>
      </c>
      <c r="C68" s="2">
        <v>11.9</v>
      </c>
      <c r="D68" s="2"/>
      <c r="E68" s="2">
        <v>11.9</v>
      </c>
      <c r="F68" s="2"/>
    </row>
    <row r="69" spans="1:6" x14ac:dyDescent="0.25">
      <c r="A69" s="4">
        <v>5203014003547</v>
      </c>
      <c r="B69" t="s">
        <v>44</v>
      </c>
      <c r="C69" s="2">
        <v>23.2</v>
      </c>
      <c r="D69" s="2"/>
      <c r="E69" s="2">
        <v>23.4</v>
      </c>
      <c r="F69" s="2"/>
    </row>
    <row r="70" spans="1:6" x14ac:dyDescent="0.25">
      <c r="A70" s="4">
        <v>5203014002014</v>
      </c>
      <c r="B70" t="s">
        <v>84</v>
      </c>
      <c r="C70" s="2">
        <v>5.0999999999999996</v>
      </c>
      <c r="D70" s="2">
        <f t="shared" ref="D70" si="4">C70*4</f>
        <v>20.399999999999999</v>
      </c>
      <c r="E70" s="2">
        <v>5.3</v>
      </c>
      <c r="F70" s="2">
        <f t="shared" ref="F70" si="5">E70*4</f>
        <v>21.2</v>
      </c>
    </row>
    <row r="71" spans="1:6" x14ac:dyDescent="0.25">
      <c r="A71" s="4">
        <v>5203014001048</v>
      </c>
      <c r="B71" t="s">
        <v>85</v>
      </c>
      <c r="C71" s="2">
        <v>5.0999999999999996</v>
      </c>
      <c r="D71" s="2">
        <f t="shared" ref="D71" si="6">C71*4</f>
        <v>20.399999999999999</v>
      </c>
      <c r="E71" s="2">
        <v>5.3</v>
      </c>
      <c r="F71" s="2">
        <f t="shared" ref="F71" si="7">E71*4</f>
        <v>21.2</v>
      </c>
    </row>
    <row r="72" spans="1:6" x14ac:dyDescent="0.25">
      <c r="A72" s="4">
        <v>5203014000065</v>
      </c>
      <c r="B72" t="s">
        <v>79</v>
      </c>
      <c r="C72" s="2">
        <v>4.5</v>
      </c>
      <c r="D72" s="2">
        <f>C72*4</f>
        <v>18</v>
      </c>
      <c r="E72" s="2">
        <v>4.5</v>
      </c>
      <c r="F72" s="2">
        <f>E72*4</f>
        <v>18</v>
      </c>
    </row>
    <row r="73" spans="1:6" x14ac:dyDescent="0.25">
      <c r="A73" s="4">
        <v>5203014527708</v>
      </c>
      <c r="B73" t="s">
        <v>45</v>
      </c>
      <c r="C73" s="2">
        <v>3.7</v>
      </c>
      <c r="D73" s="2">
        <f t="shared" ref="D73" si="8">C73*4</f>
        <v>14.8</v>
      </c>
      <c r="E73" s="2">
        <v>3.1</v>
      </c>
      <c r="F73" s="2">
        <f t="shared" ref="F73" si="9">E73*4</f>
        <v>12.4</v>
      </c>
    </row>
    <row r="74" spans="1:6" x14ac:dyDescent="0.25">
      <c r="A74" s="4">
        <v>5203014527715</v>
      </c>
      <c r="B74" t="s">
        <v>45</v>
      </c>
      <c r="C74" s="2">
        <v>9.3000000000000007</v>
      </c>
      <c r="D74" s="2"/>
      <c r="E74" s="2">
        <v>8.1999999999999993</v>
      </c>
      <c r="F74" s="2"/>
    </row>
    <row r="75" spans="1:6" x14ac:dyDescent="0.25">
      <c r="A75" s="4">
        <v>5203014006791</v>
      </c>
      <c r="B75" t="s">
        <v>45</v>
      </c>
      <c r="C75" s="2">
        <v>18.600000000000001</v>
      </c>
      <c r="D75" s="2"/>
      <c r="E75" s="2">
        <v>16.899999999999999</v>
      </c>
      <c r="F75" s="2"/>
    </row>
    <row r="76" spans="1:6" x14ac:dyDescent="0.25">
      <c r="A76" s="4">
        <v>5203014528262</v>
      </c>
      <c r="B76" t="s">
        <v>46</v>
      </c>
      <c r="C76" s="2">
        <v>5.2</v>
      </c>
      <c r="D76" s="2">
        <f t="shared" ref="D76" si="10">C76*4</f>
        <v>20.8</v>
      </c>
      <c r="E76" s="2">
        <v>4.7</v>
      </c>
      <c r="F76" s="2">
        <f t="shared" ref="F76" si="11">E76*4</f>
        <v>18.8</v>
      </c>
    </row>
    <row r="77" spans="1:6" x14ac:dyDescent="0.25">
      <c r="A77" s="4">
        <v>5203014003592</v>
      </c>
      <c r="B77" t="s">
        <v>46</v>
      </c>
      <c r="C77" s="2">
        <v>12.9</v>
      </c>
      <c r="D77" s="2"/>
      <c r="E77" s="2">
        <v>11.7</v>
      </c>
      <c r="F77" s="2"/>
    </row>
    <row r="78" spans="1:6" x14ac:dyDescent="0.25">
      <c r="A78" s="4">
        <v>5203014002694</v>
      </c>
      <c r="B78" t="s">
        <v>47</v>
      </c>
      <c r="C78" s="2">
        <v>14.3</v>
      </c>
      <c r="D78" s="2">
        <f>C78*2</f>
        <v>28.6</v>
      </c>
      <c r="E78" s="2">
        <v>14.3</v>
      </c>
      <c r="F78" s="2">
        <f>E78*2</f>
        <v>28.6</v>
      </c>
    </row>
    <row r="79" spans="1:6" x14ac:dyDescent="0.25">
      <c r="A79" s="4">
        <v>5203014003691</v>
      </c>
      <c r="B79" t="s">
        <v>47</v>
      </c>
      <c r="C79" s="2">
        <v>26.6</v>
      </c>
      <c r="D79" s="2"/>
      <c r="E79" s="2">
        <v>26.6</v>
      </c>
      <c r="F79" s="2"/>
    </row>
    <row r="80" spans="1:6" x14ac:dyDescent="0.25">
      <c r="A80" s="4">
        <v>5203014003707</v>
      </c>
      <c r="B80" t="s">
        <v>47</v>
      </c>
      <c r="C80" s="2">
        <v>50.8</v>
      </c>
      <c r="D80" s="2"/>
      <c r="E80" s="2">
        <v>50.8</v>
      </c>
      <c r="F80" s="2"/>
    </row>
    <row r="81" spans="1:6" x14ac:dyDescent="0.25">
      <c r="A81" s="4">
        <v>5203014003745</v>
      </c>
      <c r="B81" t="s">
        <v>48</v>
      </c>
      <c r="C81" s="2">
        <v>20.5</v>
      </c>
      <c r="D81" s="2">
        <f>2*C81</f>
        <v>41</v>
      </c>
      <c r="E81" s="2">
        <v>20.5</v>
      </c>
      <c r="F81" s="2">
        <v>39.4</v>
      </c>
    </row>
    <row r="82" spans="1:6" x14ac:dyDescent="0.25">
      <c r="A82" s="4">
        <v>5203014003752</v>
      </c>
      <c r="B82" t="s">
        <v>48</v>
      </c>
      <c r="C82" s="2">
        <v>80.2</v>
      </c>
      <c r="D82" s="2"/>
      <c r="E82" s="2">
        <v>80.2</v>
      </c>
      <c r="F82" s="2"/>
    </row>
    <row r="83" spans="1:6" x14ac:dyDescent="0.25">
      <c r="A83" s="4">
        <v>5203014500343</v>
      </c>
      <c r="B83" t="s">
        <v>49</v>
      </c>
      <c r="C83" s="2">
        <v>27.8</v>
      </c>
      <c r="D83" s="2">
        <f>2*C83</f>
        <v>55.6</v>
      </c>
      <c r="E83" s="2">
        <v>27.8</v>
      </c>
      <c r="F83" s="2">
        <v>53.6</v>
      </c>
    </row>
    <row r="84" spans="1:6" x14ac:dyDescent="0.25">
      <c r="A84" s="4">
        <v>5203014003844</v>
      </c>
      <c r="B84" t="s">
        <v>49</v>
      </c>
      <c r="C84" s="2">
        <v>106.5</v>
      </c>
      <c r="D84" s="2"/>
      <c r="E84" s="2">
        <v>106.5</v>
      </c>
      <c r="F84" s="2"/>
    </row>
    <row r="85" spans="1:6" x14ac:dyDescent="0.25">
      <c r="A85" s="4">
        <v>5203014002595</v>
      </c>
      <c r="B85" t="s">
        <v>50</v>
      </c>
      <c r="C85" s="2">
        <v>9.9</v>
      </c>
      <c r="D85" s="2">
        <f>C85*2</f>
        <v>19.8</v>
      </c>
      <c r="E85" s="2">
        <v>9.9</v>
      </c>
      <c r="F85" s="2">
        <f>E85*2</f>
        <v>19.8</v>
      </c>
    </row>
    <row r="86" spans="1:6" x14ac:dyDescent="0.25">
      <c r="A86" s="4">
        <v>5203014003677</v>
      </c>
      <c r="B86" t="s">
        <v>50</v>
      </c>
      <c r="C86" s="2">
        <v>19.100000000000001</v>
      </c>
      <c r="D86" s="2"/>
      <c r="E86" s="2">
        <v>19.100000000000001</v>
      </c>
      <c r="F86" s="2"/>
    </row>
    <row r="87" spans="1:6" x14ac:dyDescent="0.25">
      <c r="A87" s="4">
        <v>5203014003684</v>
      </c>
      <c r="B87" t="s">
        <v>50</v>
      </c>
      <c r="C87" s="2">
        <v>37.5</v>
      </c>
      <c r="D87" s="2"/>
      <c r="E87" s="2">
        <v>37.5</v>
      </c>
      <c r="F87" s="2"/>
    </row>
    <row r="88" spans="1:6" x14ac:dyDescent="0.25">
      <c r="A88" s="4">
        <v>5203014002717</v>
      </c>
      <c r="B88" t="s">
        <v>51</v>
      </c>
      <c r="C88" s="2">
        <v>47.1</v>
      </c>
      <c r="D88" s="2"/>
      <c r="E88" s="2">
        <v>47.1</v>
      </c>
      <c r="F88" s="2"/>
    </row>
    <row r="89" spans="1:6" x14ac:dyDescent="0.25">
      <c r="A89" s="4">
        <v>5203014002861</v>
      </c>
      <c r="B89" t="s">
        <v>52</v>
      </c>
      <c r="C89" s="2">
        <v>34.9</v>
      </c>
      <c r="D89" s="2"/>
      <c r="E89" s="2">
        <v>34.9</v>
      </c>
      <c r="F89" s="2"/>
    </row>
    <row r="90" spans="1:6" x14ac:dyDescent="0.25">
      <c r="A90" s="4">
        <v>5203014003769</v>
      </c>
      <c r="B90" t="s">
        <v>53</v>
      </c>
      <c r="C90" s="2">
        <v>41.5</v>
      </c>
      <c r="D90" s="2"/>
      <c r="E90" s="2">
        <v>41.5</v>
      </c>
      <c r="F90" s="2"/>
    </row>
    <row r="91" spans="1:6" x14ac:dyDescent="0.25">
      <c r="A91" s="4">
        <v>5203014002847</v>
      </c>
      <c r="B91" t="s">
        <v>54</v>
      </c>
      <c r="C91" s="2">
        <v>56.9</v>
      </c>
      <c r="D91" s="2"/>
      <c r="E91" s="2">
        <v>56.9</v>
      </c>
      <c r="F91" s="2"/>
    </row>
    <row r="92" spans="1:6" x14ac:dyDescent="0.25">
      <c r="A92" s="4">
        <v>5203014002915</v>
      </c>
      <c r="B92" t="s">
        <v>55</v>
      </c>
      <c r="C92" s="2">
        <v>9.1999999999999993</v>
      </c>
      <c r="D92" s="2">
        <f>C92*9</f>
        <v>82.8</v>
      </c>
      <c r="E92" s="2">
        <v>9.1999999999999993</v>
      </c>
      <c r="F92" s="2">
        <f>E92*9</f>
        <v>82.8</v>
      </c>
    </row>
    <row r="93" spans="1:6" x14ac:dyDescent="0.25">
      <c r="A93" s="4">
        <v>5203014003653</v>
      </c>
      <c r="B93" t="s">
        <v>55</v>
      </c>
      <c r="C93" s="2">
        <v>9.1999999999999993</v>
      </c>
      <c r="D93" s="2">
        <f t="shared" ref="D93:D94" si="12">C93*9</f>
        <v>82.8</v>
      </c>
      <c r="E93" s="2">
        <v>9.1999999999999993</v>
      </c>
      <c r="F93" s="2">
        <f t="shared" ref="F93:F94" si="13">E93*9</f>
        <v>82.8</v>
      </c>
    </row>
    <row r="94" spans="1:6" x14ac:dyDescent="0.25">
      <c r="A94" s="4">
        <v>5203014003660</v>
      </c>
      <c r="B94" t="s">
        <v>55</v>
      </c>
      <c r="C94" s="2">
        <v>9.1999999999999993</v>
      </c>
      <c r="D94" s="2">
        <f t="shared" si="12"/>
        <v>82.8</v>
      </c>
      <c r="E94" s="2">
        <v>9.1999999999999993</v>
      </c>
      <c r="F94" s="2">
        <f t="shared" si="13"/>
        <v>82.8</v>
      </c>
    </row>
    <row r="95" spans="1:6" x14ac:dyDescent="0.25">
      <c r="A95" s="4">
        <v>5203014003837</v>
      </c>
      <c r="B95" t="s">
        <v>56</v>
      </c>
      <c r="C95" s="2">
        <v>12.5</v>
      </c>
      <c r="D95" s="2">
        <f>C95*2</f>
        <v>25</v>
      </c>
      <c r="E95" s="2">
        <v>12.5</v>
      </c>
      <c r="F95" s="2">
        <f>E95*2</f>
        <v>25</v>
      </c>
    </row>
    <row r="96" spans="1:6" x14ac:dyDescent="0.25">
      <c r="A96" s="4">
        <v>5203014003974</v>
      </c>
      <c r="B96" t="s">
        <v>56</v>
      </c>
      <c r="C96" s="2">
        <v>23.6</v>
      </c>
      <c r="D96" s="2"/>
      <c r="E96" s="2">
        <v>23.6</v>
      </c>
      <c r="F96" s="2"/>
    </row>
    <row r="97" spans="1:6" x14ac:dyDescent="0.25">
      <c r="A97" s="4">
        <v>5203014499630</v>
      </c>
      <c r="B97" t="s">
        <v>57</v>
      </c>
      <c r="C97" s="2">
        <v>18.2</v>
      </c>
      <c r="D97" s="2">
        <f>C97*2</f>
        <v>36.4</v>
      </c>
      <c r="E97" s="2">
        <v>18.2</v>
      </c>
      <c r="F97" s="2">
        <f>E97*2</f>
        <v>36.4</v>
      </c>
    </row>
    <row r="98" spans="1:6" x14ac:dyDescent="0.25">
      <c r="A98" s="4">
        <v>5203014003813</v>
      </c>
      <c r="B98" t="s">
        <v>57</v>
      </c>
      <c r="C98" s="2">
        <v>34.700000000000003</v>
      </c>
      <c r="D98" s="2"/>
      <c r="E98" s="2">
        <v>34.700000000000003</v>
      </c>
      <c r="F98" s="2"/>
    </row>
    <row r="99" spans="1:6" x14ac:dyDescent="0.25">
      <c r="A99" s="4">
        <v>5203014002922</v>
      </c>
      <c r="B99" t="s">
        <v>58</v>
      </c>
      <c r="C99" s="2">
        <v>19.8</v>
      </c>
      <c r="D99" s="2">
        <f>C99*2</f>
        <v>39.6</v>
      </c>
      <c r="E99" s="2">
        <v>19.8</v>
      </c>
      <c r="F99" s="2">
        <f>E99*2</f>
        <v>39.6</v>
      </c>
    </row>
    <row r="100" spans="1:6" x14ac:dyDescent="0.25">
      <c r="A100" s="4">
        <v>5203014498015</v>
      </c>
      <c r="B100" t="s">
        <v>59</v>
      </c>
      <c r="C100" s="2">
        <v>7.1</v>
      </c>
      <c r="D100" s="2">
        <f>C100*12</f>
        <v>85.199999999999989</v>
      </c>
      <c r="E100" s="2">
        <v>7.1</v>
      </c>
      <c r="F100" s="2">
        <f>E100*12</f>
        <v>85.199999999999989</v>
      </c>
    </row>
    <row r="101" spans="1:6" x14ac:dyDescent="0.25">
      <c r="A101" s="4" t="s">
        <v>68</v>
      </c>
      <c r="B101" t="s">
        <v>69</v>
      </c>
      <c r="C101" s="2">
        <v>4.95</v>
      </c>
      <c r="D101" s="2">
        <f>C101*8</f>
        <v>39.6</v>
      </c>
      <c r="E101" s="2">
        <v>4.95</v>
      </c>
      <c r="F101" s="2">
        <f>E101*8</f>
        <v>39.6</v>
      </c>
    </row>
    <row r="102" spans="1:6" x14ac:dyDescent="0.25">
      <c r="A102" s="4" t="s">
        <v>78</v>
      </c>
      <c r="B102" t="s">
        <v>76</v>
      </c>
      <c r="C102" s="2">
        <v>6.95</v>
      </c>
      <c r="D102" s="2">
        <f>C102*8</f>
        <v>55.6</v>
      </c>
      <c r="E102" s="2">
        <v>6.95</v>
      </c>
      <c r="F102" s="2">
        <f>E102*8</f>
        <v>55.6</v>
      </c>
    </row>
    <row r="103" spans="1:6" x14ac:dyDescent="0.25">
      <c r="A103" s="4" t="s">
        <v>70</v>
      </c>
      <c r="B103" t="s">
        <v>71</v>
      </c>
      <c r="C103" s="2">
        <v>76.2</v>
      </c>
      <c r="D103" s="2"/>
      <c r="E103" s="2">
        <v>76.2</v>
      </c>
      <c r="F103" s="2"/>
    </row>
    <row r="104" spans="1:6" x14ac:dyDescent="0.25">
      <c r="A104" s="4">
        <v>5200421700328</v>
      </c>
      <c r="B104" t="s">
        <v>0</v>
      </c>
      <c r="C104" s="2">
        <v>18.5</v>
      </c>
      <c r="D104" s="2">
        <f>C104*4</f>
        <v>74</v>
      </c>
      <c r="E104" s="2">
        <v>18.5</v>
      </c>
      <c r="F104" s="2">
        <f>E104*4</f>
        <v>74</v>
      </c>
    </row>
    <row r="105" spans="1:6" x14ac:dyDescent="0.25">
      <c r="A105" s="3">
        <v>5200421700168</v>
      </c>
      <c r="B105" t="s">
        <v>75</v>
      </c>
      <c r="C105" s="2">
        <v>23.2</v>
      </c>
      <c r="D105" s="2">
        <f>C105*4</f>
        <v>92.8</v>
      </c>
      <c r="E105" s="2">
        <v>23.2</v>
      </c>
      <c r="F105" s="2">
        <f>E105*4</f>
        <v>92.8</v>
      </c>
    </row>
    <row r="106" spans="1:6" x14ac:dyDescent="0.25">
      <c r="A106" s="3" t="s">
        <v>77</v>
      </c>
      <c r="B106" t="s">
        <v>75</v>
      </c>
      <c r="C106" s="2">
        <v>59.2</v>
      </c>
      <c r="D106" s="2"/>
      <c r="E106" s="2">
        <v>59.2</v>
      </c>
      <c r="F106" s="2"/>
    </row>
    <row r="107" spans="1:6" x14ac:dyDescent="0.25">
      <c r="A107" s="4">
        <v>5203014003943</v>
      </c>
      <c r="B107" t="s">
        <v>1</v>
      </c>
      <c r="C107" s="2">
        <v>3.95</v>
      </c>
      <c r="D107" s="2">
        <v>98.75</v>
      </c>
      <c r="E107" s="2">
        <v>3.95</v>
      </c>
      <c r="F107" s="2">
        <v>98.75</v>
      </c>
    </row>
    <row r="108" spans="1:6" x14ac:dyDescent="0.25">
      <c r="A108" s="3">
        <v>15203014003940</v>
      </c>
      <c r="B108" t="s">
        <v>1</v>
      </c>
      <c r="C108" s="2">
        <v>3.75</v>
      </c>
      <c r="D108" s="2"/>
      <c r="E108" s="2">
        <v>3.75</v>
      </c>
      <c r="F108" s="2"/>
    </row>
    <row r="109" spans="1:6" x14ac:dyDescent="0.25">
      <c r="A109" s="3">
        <v>25203014003947</v>
      </c>
      <c r="B109" t="s">
        <v>1</v>
      </c>
      <c r="C109" s="2">
        <v>3.6</v>
      </c>
      <c r="D109" s="2"/>
      <c r="E109" s="2">
        <v>3.6</v>
      </c>
      <c r="F109" s="2"/>
    </row>
    <row r="110" spans="1:6" x14ac:dyDescent="0.25">
      <c r="A110" s="4">
        <v>5203014003950</v>
      </c>
      <c r="B110" t="s">
        <v>2</v>
      </c>
      <c r="C110" s="2">
        <v>1.85</v>
      </c>
      <c r="D110" s="2">
        <f>C110*24</f>
        <v>44.400000000000006</v>
      </c>
      <c r="E110" s="2">
        <v>1.85</v>
      </c>
      <c r="F110" s="2">
        <f>E110*24</f>
        <v>44.400000000000006</v>
      </c>
    </row>
    <row r="111" spans="1:6" x14ac:dyDescent="0.25">
      <c r="A111" s="3">
        <v>15203014003957</v>
      </c>
      <c r="B111" t="s">
        <v>2</v>
      </c>
      <c r="C111" s="2">
        <v>1.66</v>
      </c>
      <c r="D111" s="2">
        <v>1.75</v>
      </c>
      <c r="E111" s="2">
        <v>1.66</v>
      </c>
      <c r="F111" s="2">
        <v>1.75</v>
      </c>
    </row>
    <row r="112" spans="1:6" x14ac:dyDescent="0.25">
      <c r="A112" s="3">
        <v>25203014003954</v>
      </c>
      <c r="B112" t="s">
        <v>2</v>
      </c>
      <c r="C112" s="2">
        <v>1.59</v>
      </c>
      <c r="D112" s="2">
        <v>1.68</v>
      </c>
      <c r="E112" s="2">
        <v>1.59</v>
      </c>
      <c r="F112" s="2">
        <v>1.68</v>
      </c>
    </row>
    <row r="113" spans="1:6" x14ac:dyDescent="0.25">
      <c r="A113" s="4">
        <v>5203014003851</v>
      </c>
      <c r="B113" t="s">
        <v>3</v>
      </c>
      <c r="C113" s="2">
        <v>2.39</v>
      </c>
      <c r="D113" s="2">
        <v>69.31</v>
      </c>
      <c r="E113" s="2">
        <v>2.39</v>
      </c>
      <c r="F113" s="2">
        <v>69.31</v>
      </c>
    </row>
    <row r="114" spans="1:6" x14ac:dyDescent="0.25">
      <c r="A114" s="5">
        <v>15203014003858</v>
      </c>
      <c r="B114" t="s">
        <v>3</v>
      </c>
      <c r="C114" s="2">
        <v>2.2799999999999998</v>
      </c>
      <c r="D114" s="2"/>
      <c r="E114" s="2">
        <v>2.2799999999999998</v>
      </c>
      <c r="F114" s="2"/>
    </row>
    <row r="115" spans="1:6" x14ac:dyDescent="0.25">
      <c r="A115" s="5">
        <v>25203014003855</v>
      </c>
      <c r="B115" t="s">
        <v>3</v>
      </c>
      <c r="C115" s="2">
        <v>2.2000000000000002</v>
      </c>
      <c r="D115" s="2"/>
      <c r="E115" s="2">
        <v>2.2000000000000002</v>
      </c>
      <c r="F115" s="2"/>
    </row>
    <row r="116" spans="1:6" x14ac:dyDescent="0.25">
      <c r="A116" s="4">
        <v>5203014003868</v>
      </c>
      <c r="B116" t="s">
        <v>4</v>
      </c>
      <c r="C116" s="2">
        <v>2.1800000000000002</v>
      </c>
      <c r="D116" s="2">
        <v>54.5</v>
      </c>
      <c r="E116" s="2">
        <v>2.1800000000000002</v>
      </c>
      <c r="F116" s="2">
        <v>54.5</v>
      </c>
    </row>
    <row r="117" spans="1:6" x14ac:dyDescent="0.25">
      <c r="A117" s="5">
        <v>15203014003865</v>
      </c>
      <c r="B117" t="s">
        <v>4</v>
      </c>
      <c r="C117" s="2">
        <v>2.08</v>
      </c>
      <c r="D117" s="2"/>
      <c r="E117" s="2">
        <v>2.08</v>
      </c>
      <c r="F117" s="2"/>
    </row>
    <row r="118" spans="1:6" x14ac:dyDescent="0.25">
      <c r="A118" s="5">
        <v>25203014003862</v>
      </c>
      <c r="B118" t="s">
        <v>4</v>
      </c>
      <c r="C118" s="2">
        <v>2.2000000000000002</v>
      </c>
      <c r="D118" s="2"/>
      <c r="E118" s="2">
        <v>2.2000000000000002</v>
      </c>
      <c r="F118" s="2"/>
    </row>
    <row r="119" spans="1:6" x14ac:dyDescent="0.25">
      <c r="A119" s="4">
        <v>5203014003875</v>
      </c>
      <c r="B119" t="s">
        <v>5</v>
      </c>
      <c r="C119" s="2">
        <v>2.89</v>
      </c>
      <c r="D119" s="2">
        <v>72.25</v>
      </c>
      <c r="E119" s="2">
        <v>2.89</v>
      </c>
      <c r="F119" s="2">
        <v>72.25</v>
      </c>
    </row>
    <row r="120" spans="1:6" x14ac:dyDescent="0.25">
      <c r="A120" s="5">
        <v>15203014003872</v>
      </c>
      <c r="B120" t="s">
        <v>5</v>
      </c>
      <c r="C120" s="2">
        <v>2.08</v>
      </c>
      <c r="D120" s="2"/>
      <c r="E120" s="2">
        <v>2.08</v>
      </c>
      <c r="F120" s="2"/>
    </row>
    <row r="121" spans="1:6" x14ac:dyDescent="0.25">
      <c r="A121" s="5">
        <v>25203014003879</v>
      </c>
      <c r="B121" t="s">
        <v>5</v>
      </c>
      <c r="C121" s="2">
        <v>1.98</v>
      </c>
      <c r="D121" s="2"/>
      <c r="E121" s="2">
        <v>1.98</v>
      </c>
      <c r="F121" s="2"/>
    </row>
    <row r="122" spans="1:6" x14ac:dyDescent="0.25">
      <c r="A122" s="4">
        <v>5203014003882</v>
      </c>
      <c r="B122" t="s">
        <v>6</v>
      </c>
      <c r="C122" s="2">
        <v>11</v>
      </c>
      <c r="D122" s="2">
        <v>22</v>
      </c>
      <c r="E122" s="2">
        <v>11</v>
      </c>
      <c r="F122" s="2">
        <v>22</v>
      </c>
    </row>
    <row r="123" spans="1:6" x14ac:dyDescent="0.25">
      <c r="A123" s="5">
        <v>5203014001161</v>
      </c>
      <c r="B123" t="s">
        <v>7</v>
      </c>
      <c r="C123" s="2">
        <v>49.4</v>
      </c>
      <c r="D123" s="2"/>
      <c r="E123" s="2">
        <v>49.4</v>
      </c>
      <c r="F123" s="2"/>
    </row>
    <row r="124" spans="1:6" x14ac:dyDescent="0.25">
      <c r="A124" s="4">
        <v>5203014003899</v>
      </c>
      <c r="B124" t="s">
        <v>8</v>
      </c>
      <c r="C124" s="2">
        <v>2.98</v>
      </c>
      <c r="D124" s="2">
        <v>74.5</v>
      </c>
      <c r="E124" s="2">
        <v>2.98</v>
      </c>
      <c r="F124" s="2">
        <v>74.5</v>
      </c>
    </row>
    <row r="125" spans="1:6" x14ac:dyDescent="0.25">
      <c r="A125" s="5">
        <v>15203014003896</v>
      </c>
      <c r="B125" t="s">
        <v>8</v>
      </c>
      <c r="C125" s="2">
        <v>2.85</v>
      </c>
      <c r="D125" s="2"/>
      <c r="E125" s="2">
        <v>2.85</v>
      </c>
      <c r="F125" s="2"/>
    </row>
    <row r="126" spans="1:6" x14ac:dyDescent="0.25">
      <c r="A126" s="5">
        <v>25203014003893</v>
      </c>
      <c r="B126" t="s">
        <v>8</v>
      </c>
      <c r="C126" s="2">
        <v>2.8</v>
      </c>
      <c r="D126" s="2"/>
      <c r="E126" s="2">
        <v>2.8</v>
      </c>
      <c r="F126" s="2"/>
    </row>
    <row r="127" spans="1:6" x14ac:dyDescent="0.25">
      <c r="A127" s="4">
        <v>5203014003905</v>
      </c>
      <c r="B127" t="s">
        <v>9</v>
      </c>
      <c r="C127" s="2">
        <v>3.5</v>
      </c>
      <c r="D127" s="2">
        <v>87.5</v>
      </c>
      <c r="E127" s="2">
        <v>3.5</v>
      </c>
      <c r="F127" s="2">
        <v>87.5</v>
      </c>
    </row>
    <row r="128" spans="1:6" x14ac:dyDescent="0.25">
      <c r="A128" s="5">
        <v>15203014003902</v>
      </c>
      <c r="B128" t="s">
        <v>9</v>
      </c>
      <c r="C128" s="2">
        <v>3.3</v>
      </c>
      <c r="D128" s="2"/>
      <c r="E128" s="2">
        <v>3.3</v>
      </c>
      <c r="F128" s="2"/>
    </row>
    <row r="129" spans="1:6" x14ac:dyDescent="0.25">
      <c r="A129" s="5">
        <v>25203014003909</v>
      </c>
      <c r="B129" t="s">
        <v>9</v>
      </c>
      <c r="C129" s="2">
        <v>3.18</v>
      </c>
      <c r="D129" s="2"/>
      <c r="E129" s="2">
        <v>3.18</v>
      </c>
      <c r="F129" s="2"/>
    </row>
    <row r="130" spans="1:6" x14ac:dyDescent="0.25">
      <c r="A130" s="4">
        <v>5203014003912</v>
      </c>
      <c r="B130" t="s">
        <v>10</v>
      </c>
      <c r="C130" s="2">
        <v>2.3199999999999998</v>
      </c>
      <c r="D130" s="2">
        <v>55.68</v>
      </c>
      <c r="E130" s="2">
        <v>2.3199999999999998</v>
      </c>
      <c r="F130" s="2">
        <v>55.68</v>
      </c>
    </row>
    <row r="131" spans="1:6" x14ac:dyDescent="0.25">
      <c r="A131" s="5">
        <v>15203014003919</v>
      </c>
      <c r="B131" t="s">
        <v>10</v>
      </c>
      <c r="C131" s="2">
        <v>2.2200000000000002</v>
      </c>
      <c r="D131" s="2"/>
      <c r="E131" s="2">
        <v>2.2200000000000002</v>
      </c>
      <c r="F131" s="2"/>
    </row>
    <row r="132" spans="1:6" x14ac:dyDescent="0.25">
      <c r="A132" s="5">
        <v>25203014003916</v>
      </c>
      <c r="B132" t="s">
        <v>10</v>
      </c>
      <c r="C132" s="2">
        <v>2.12</v>
      </c>
      <c r="D132" s="2"/>
      <c r="E132" s="2">
        <v>2.12</v>
      </c>
      <c r="F132" s="2"/>
    </row>
    <row r="133" spans="1:6" x14ac:dyDescent="0.25">
      <c r="A133" s="4">
        <v>5203014003929</v>
      </c>
      <c r="B133" t="s">
        <v>11</v>
      </c>
      <c r="C133" s="2">
        <v>3.26</v>
      </c>
      <c r="D133" s="2">
        <v>74.98</v>
      </c>
      <c r="E133" s="2">
        <v>3.26</v>
      </c>
      <c r="F133" s="2">
        <v>74.98</v>
      </c>
    </row>
    <row r="134" spans="1:6" x14ac:dyDescent="0.25">
      <c r="A134" s="6">
        <v>301400236</v>
      </c>
      <c r="B134" t="s">
        <v>61</v>
      </c>
      <c r="C134" s="2">
        <v>119</v>
      </c>
      <c r="D134" s="2"/>
      <c r="E134" s="2">
        <v>119</v>
      </c>
      <c r="F134" s="2"/>
    </row>
    <row r="135" spans="1:6" x14ac:dyDescent="0.25">
      <c r="A135" s="6">
        <v>301400237</v>
      </c>
      <c r="B135" t="s">
        <v>81</v>
      </c>
      <c r="C135" s="2">
        <v>2.1</v>
      </c>
      <c r="D135" s="2"/>
      <c r="E135" s="2">
        <v>2.1</v>
      </c>
      <c r="F135" s="2"/>
    </row>
    <row r="136" spans="1:6" x14ac:dyDescent="0.25">
      <c r="A136" s="6">
        <v>301400239</v>
      </c>
      <c r="B136" t="s">
        <v>62</v>
      </c>
      <c r="C136" s="2">
        <v>12.6</v>
      </c>
      <c r="D136" s="2"/>
      <c r="E136" s="2">
        <v>12.6</v>
      </c>
      <c r="F136" s="2"/>
    </row>
    <row r="137" spans="1:6" x14ac:dyDescent="0.25">
      <c r="A137" s="6">
        <v>301400240</v>
      </c>
      <c r="B137" t="s">
        <v>80</v>
      </c>
      <c r="C137" s="2">
        <v>26.3</v>
      </c>
      <c r="D137" s="2"/>
      <c r="E137" s="2">
        <v>26.3</v>
      </c>
      <c r="F137" s="2"/>
    </row>
    <row r="138" spans="1:6" x14ac:dyDescent="0.25">
      <c r="A138" s="6">
        <v>301400241</v>
      </c>
      <c r="B138" t="s">
        <v>63</v>
      </c>
      <c r="C138" s="2">
        <v>64</v>
      </c>
      <c r="D138" s="2"/>
      <c r="E138" s="2">
        <v>64</v>
      </c>
      <c r="F138" s="2"/>
    </row>
    <row r="139" spans="1:6" x14ac:dyDescent="0.25">
      <c r="A139" s="6">
        <v>301400242</v>
      </c>
      <c r="B139" t="s">
        <v>64</v>
      </c>
      <c r="C139" s="2">
        <v>5.2</v>
      </c>
      <c r="D139" s="2"/>
      <c r="E139" s="2">
        <v>5.2</v>
      </c>
      <c r="F139" s="2"/>
    </row>
    <row r="140" spans="1:6" x14ac:dyDescent="0.25">
      <c r="A140" s="6">
        <v>301400231</v>
      </c>
      <c r="B140" t="s">
        <v>82</v>
      </c>
      <c r="C140" s="2">
        <v>85</v>
      </c>
      <c r="D140" s="2"/>
      <c r="E140" s="2">
        <v>85</v>
      </c>
      <c r="F140" s="2"/>
    </row>
    <row r="141" spans="1:6" x14ac:dyDescent="0.25">
      <c r="A141" s="6">
        <v>301400232</v>
      </c>
      <c r="B141" t="s">
        <v>83</v>
      </c>
      <c r="C141" s="2">
        <v>85</v>
      </c>
      <c r="D141" s="2"/>
      <c r="E141" s="2">
        <v>85</v>
      </c>
      <c r="F141" s="2"/>
    </row>
    <row r="142" spans="1:6" x14ac:dyDescent="0.25">
      <c r="A142" s="6">
        <v>301400233</v>
      </c>
      <c r="B142" t="s">
        <v>65</v>
      </c>
      <c r="C142" s="2">
        <v>1250</v>
      </c>
      <c r="D142" s="2"/>
      <c r="E142" s="2">
        <v>1250</v>
      </c>
      <c r="F142" s="2"/>
    </row>
    <row r="143" spans="1:6" x14ac:dyDescent="0.25">
      <c r="A143" s="6">
        <v>301400234</v>
      </c>
      <c r="B143" t="s">
        <v>66</v>
      </c>
      <c r="C143" s="2">
        <v>1500</v>
      </c>
      <c r="D143" s="2"/>
      <c r="E143" s="2">
        <v>1500</v>
      </c>
      <c r="F143" s="2"/>
    </row>
    <row r="144" spans="1:6" x14ac:dyDescent="0.25">
      <c r="A144" s="6">
        <v>301400235</v>
      </c>
      <c r="B144" t="s">
        <v>67</v>
      </c>
      <c r="C144" s="2">
        <v>3200</v>
      </c>
      <c r="D144" s="2"/>
      <c r="E144" s="2">
        <v>3200</v>
      </c>
      <c r="F144" s="2"/>
    </row>
    <row r="145" spans="1:5" x14ac:dyDescent="0.25">
      <c r="A145" s="4">
        <v>301400243</v>
      </c>
      <c r="B145" t="s">
        <v>86</v>
      </c>
      <c r="C145" s="2">
        <v>85</v>
      </c>
      <c r="E145" s="2">
        <v>85</v>
      </c>
    </row>
    <row r="146" spans="1:5" x14ac:dyDescent="0.25">
      <c r="A146" s="4">
        <v>301400244</v>
      </c>
      <c r="B146" t="s">
        <v>87</v>
      </c>
      <c r="C146" s="2">
        <v>100</v>
      </c>
      <c r="E146" s="2">
        <v>100</v>
      </c>
    </row>
    <row r="147" spans="1:5" x14ac:dyDescent="0.25">
      <c r="A147" s="4">
        <v>301400245</v>
      </c>
      <c r="B147" t="s">
        <v>88</v>
      </c>
      <c r="C147" s="2">
        <v>21</v>
      </c>
      <c r="E147" s="2">
        <v>21</v>
      </c>
    </row>
    <row r="148" spans="1:5" x14ac:dyDescent="0.25">
      <c r="A148" s="4">
        <v>301400246</v>
      </c>
      <c r="B148" t="s">
        <v>89</v>
      </c>
      <c r="C148" s="2">
        <v>21</v>
      </c>
      <c r="E148" s="2">
        <v>21</v>
      </c>
    </row>
    <row r="149" spans="1:5" x14ac:dyDescent="0.25">
      <c r="A149" s="4">
        <v>301400247</v>
      </c>
      <c r="B149" t="s">
        <v>90</v>
      </c>
      <c r="C149" s="2">
        <v>21</v>
      </c>
      <c r="E149" s="2">
        <v>21</v>
      </c>
    </row>
    <row r="150" spans="1:5" x14ac:dyDescent="0.25">
      <c r="A150" s="4">
        <v>301400248</v>
      </c>
      <c r="B150" t="s">
        <v>91</v>
      </c>
      <c r="C150" s="2">
        <v>23</v>
      </c>
      <c r="E150" s="2">
        <v>23</v>
      </c>
    </row>
    <row r="151" spans="1:5" x14ac:dyDescent="0.25">
      <c r="A151" s="4" t="s">
        <v>92</v>
      </c>
      <c r="B151" t="s">
        <v>93</v>
      </c>
      <c r="C151" s="2">
        <v>12</v>
      </c>
      <c r="E151" s="2">
        <v>12</v>
      </c>
    </row>
    <row r="152" spans="1:5" x14ac:dyDescent="0.25">
      <c r="A152" s="4" t="s">
        <v>94</v>
      </c>
      <c r="B152" t="s">
        <v>95</v>
      </c>
      <c r="C152" s="2">
        <v>15.8</v>
      </c>
      <c r="E152" s="2">
        <v>15.8</v>
      </c>
    </row>
    <row r="153" spans="1:5" x14ac:dyDescent="0.25">
      <c r="A153" s="4" t="s">
        <v>96</v>
      </c>
      <c r="B153" t="s">
        <v>97</v>
      </c>
      <c r="C153" s="2">
        <v>21.8</v>
      </c>
      <c r="E153" s="2">
        <v>21.8</v>
      </c>
    </row>
    <row r="154" spans="1:5" x14ac:dyDescent="0.25">
      <c r="A154" s="4" t="s">
        <v>98</v>
      </c>
      <c r="B154" t="s">
        <v>99</v>
      </c>
      <c r="C154" s="2">
        <v>14</v>
      </c>
      <c r="E154" s="2">
        <v>14</v>
      </c>
    </row>
    <row r="155" spans="1:5" x14ac:dyDescent="0.25">
      <c r="A155" s="4" t="s">
        <v>100</v>
      </c>
      <c r="B155" t="s">
        <v>101</v>
      </c>
      <c r="C155" s="2">
        <v>15.5</v>
      </c>
      <c r="E155" s="2">
        <v>15.5</v>
      </c>
    </row>
    <row r="156" spans="1:5" x14ac:dyDescent="0.25">
      <c r="A156" s="4" t="s">
        <v>102</v>
      </c>
      <c r="B156" t="s">
        <v>103</v>
      </c>
      <c r="C156" s="2">
        <v>19.3</v>
      </c>
      <c r="E156" s="2">
        <v>19.3</v>
      </c>
    </row>
    <row r="157" spans="1:5" x14ac:dyDescent="0.25">
      <c r="A157" s="4" t="s">
        <v>104</v>
      </c>
      <c r="B157" t="s">
        <v>105</v>
      </c>
      <c r="C157" s="2">
        <v>16</v>
      </c>
      <c r="E157" s="2">
        <v>16</v>
      </c>
    </row>
    <row r="158" spans="1:5" x14ac:dyDescent="0.25">
      <c r="A158" s="4" t="s">
        <v>106</v>
      </c>
      <c r="B158" t="s">
        <v>107</v>
      </c>
      <c r="C158" s="2">
        <v>15.3</v>
      </c>
      <c r="E158" s="2">
        <v>15.3</v>
      </c>
    </row>
    <row r="159" spans="1:5" x14ac:dyDescent="0.25">
      <c r="A159" s="4" t="s">
        <v>108</v>
      </c>
      <c r="B159" t="s">
        <v>109</v>
      </c>
      <c r="C159" s="2">
        <v>15.7</v>
      </c>
      <c r="E159" s="2">
        <v>15.7</v>
      </c>
    </row>
    <row r="160" spans="1:5" x14ac:dyDescent="0.25">
      <c r="A160" s="4" t="s">
        <v>110</v>
      </c>
      <c r="B160" t="s">
        <v>111</v>
      </c>
      <c r="C160" s="2">
        <v>11.9</v>
      </c>
      <c r="E160" s="2">
        <v>11.9</v>
      </c>
    </row>
    <row r="161" spans="1:5" x14ac:dyDescent="0.25">
      <c r="A161" s="4" t="s">
        <v>112</v>
      </c>
      <c r="B161" t="s">
        <v>113</v>
      </c>
      <c r="C161">
        <v>19.8</v>
      </c>
      <c r="E161">
        <v>19.8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ASEM GREECE</dc:creator>
  <cp:lastModifiedBy>Admin</cp:lastModifiedBy>
  <dcterms:created xsi:type="dcterms:W3CDTF">2026-01-23T12:22:57Z</dcterms:created>
  <dcterms:modified xsi:type="dcterms:W3CDTF">2026-05-15T05:57:57Z</dcterms:modified>
</cp:coreProperties>
</file>